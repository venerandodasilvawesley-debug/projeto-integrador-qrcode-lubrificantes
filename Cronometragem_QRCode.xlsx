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struções" sheetId="1" state="visible" r:id="rId2"/>
    <sheet name="Tradicional" sheetId="2" state="visible" r:id="rId3"/>
    <sheet name="QR Code" sheetId="3" state="visible" r:id="rId4"/>
    <sheet name="Resumo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<sst xmlns="http://schemas.openxmlformats.org/spreadsheetml/2006/main" count="52" uniqueCount="37">
  <si>
    <t xml:space="preserve">CRONOMETRAGEM – Método tradicional × QR Code (redutor RED-001)</t>
  </si>
  <si>
    <t xml:space="preserve">Preencha só as células AMARELAS, em segundos (ex.: 1 min 25 s = 85).</t>
  </si>
  <si>
    <t xml:space="preserve">Etapa A: do recebimento da ordem até dizer em voz alta o lubrificante e a viscosidade.</t>
  </si>
  <si>
    <t xml:space="preserve">Etapa B: até dizer o volume e mostrar os pontos de enchimento, nível e dreno.</t>
  </si>
  <si>
    <t xml:space="preserve">Etapa C: até concluir o registro (formulário em papel ou registro no celular).</t>
  </si>
  <si>
    <t xml:space="preserve">Ordem contrabalanceada: participantes 1, 3 e 5 começam pelo tradicional; 2 e 4 pelo QR Code.</t>
  </si>
  <si>
    <t xml:space="preserve">Totais, médias, redução (%) e ganho anual são calculados sozinhos.</t>
  </si>
  <si>
    <t xml:space="preserve">Os valores das abas vão para as Tabelas 1, 2 e 3 do documento.</t>
  </si>
  <si>
    <t xml:space="preserve">Método tradicional</t>
  </si>
  <si>
    <t xml:space="preserve">Participante</t>
  </si>
  <si>
    <t xml:space="preserve">Etapa A (s)</t>
  </si>
  <si>
    <t xml:space="preserve">Etapa B (s)</t>
  </si>
  <si>
    <t xml:space="preserve">Etapa C (s)</t>
  </si>
  <si>
    <t xml:space="preserve">Total (s)</t>
  </si>
  <si>
    <t xml:space="preserve">Começou por</t>
  </si>
  <si>
    <t xml:space="preserve">Tradicional</t>
  </si>
  <si>
    <t xml:space="preserve">QR Code</t>
  </si>
  <si>
    <t xml:space="preserve">Média</t>
  </si>
  <si>
    <t xml:space="preserve">Método com QR Code</t>
  </si>
  <si>
    <t xml:space="preserve">Comparação entre os métodos (Tabela 3)</t>
  </si>
  <si>
    <t xml:space="preserve">Etapa</t>
  </si>
  <si>
    <t xml:space="preserve">Média tradicional (s)</t>
  </si>
  <si>
    <t xml:space="preserve">Média QR Code (s)</t>
  </si>
  <si>
    <t xml:space="preserve">Redução (%)</t>
  </si>
  <si>
    <t xml:space="preserve">A. Identificar o lubrificante</t>
  </si>
  <si>
    <t xml:space="preserve">B. Volume e pontos</t>
  </si>
  <si>
    <t xml:space="preserve">C. Registro da intervenção</t>
  </si>
  <si>
    <t xml:space="preserve">Total</t>
  </si>
  <si>
    <t xml:space="preserve"/>
  </si>
  <si>
    <t xml:space="preserve">Ganho por ano</t>
  </si>
  <si>
    <t xml:space="preserve">Intervenções por ano</t>
  </si>
  <si>
    <t xml:space="preserve">ex.: mensal = 12</t>
  </si>
  <si>
    <t xml:space="preserve">Custo da hora do mecânico (R$)</t>
  </si>
  <si>
    <t xml:space="preserve">citar a fonte no documento</t>
  </si>
  <si>
    <t xml:space="preserve">Tempo ganho por intervenção (s)</t>
  </si>
  <si>
    <t xml:space="preserve">Tempo ganho por ano (h)</t>
  </si>
  <si>
    <t xml:space="preserve">Economia por ano (R$)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</si>
</sst>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</font>
    <font>
      <b val="true"/>
      <sz val="10"/>
      <color rgb="FFFFFFFF"/>
      <name val="Arial"/>
      <family val="2"/>
    </font>
    <font>
      <b val="true"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627C42"/>
        <bgColor rgb="FF4A5E31"/>
      </patternFill>
    </fill>
    <fill>
      <patternFill patternType="solid">
        <fgColor rgb="FFFFF3B0"/>
        <bgColor rgb="FFEEF3E6"/>
      </patternFill>
    </fill>
    <fill>
      <patternFill patternType="solid">
        <fgColor rgb="FFEEF3E6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hair">
        <color rgb="FF4A5E31"/>
      </left>
      <right style="hair">
        <color rgb="FF4A5E31"/>
      </right>
      <top style="hair">
        <color rgb="FF4A5E31"/>
      </top>
      <bottom style="hair">
        <color rgb="FF4A5E31"/>
      </bottom>
      <diagonal/>
    </border>
    <border diagonalUp="false" diagonalDown="false">
      <left style="hair">
        <color rgb="FF9FB37F"/>
      </left>
      <right style="hair">
        <color rgb="FF9FB37F"/>
      </right>
      <top style="hair">
        <color rgb="FF9FB37F"/>
      </top>
      <bottom style="hair">
        <color rgb="FF9FB37F"/>
      </bottom>
      <diagonal/>
    </border>
    <border diagonalUp="false" diagonalDown="false">
      <left style="hair">
        <color rgb="FFB8A400"/>
      </left>
      <right style="hair">
        <color rgb="FFB8A400"/>
      </right>
      <top style="hair">
        <color rgb="FFB8A400"/>
      </top>
      <bottom style="hair">
        <color rgb="FFB8A4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27C42"/>
      <rgbColor rgb="FF9999FF"/>
      <rgbColor rgb="FF993366"/>
      <rgbColor rgb="FFEEF3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3B0"/>
      <rgbColor rgb="FF99CCFF"/>
      <rgbColor rgb="FFFF99CC"/>
      <rgbColor rgb="FFCC99FF"/>
      <rgbColor rgb="FFFFCC99"/>
      <rgbColor rgb="FF3366FF"/>
      <rgbColor rgb="FF33CCCC"/>
      <rgbColor rgb="FFB8A400"/>
      <rgbColor rgb="FFFFCC00"/>
      <rgbColor rgb="FFFF9900"/>
      <rgbColor rgb="FFFF6600"/>
      <rgbColor rgb="FF666699"/>
      <rgbColor rgb="FF9FB37F"/>
      <rgbColor rgb="FF003366"/>
      <rgbColor rgb="FF339966"/>
      <rgbColor rgb="FF003300"/>
      <rgbColor rgb="FF333300"/>
      <rgbColor rgb="FF993300"/>
      <rgbColor rgb="FF993366"/>
      <rgbColor rgb="FF333399"/>
      <rgbColor rgb="FF4A5E3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1.93"/>
  </cols>
  <sheetData>
    <row r="1" customFormat="false" ht="15" hidden="false" customHeight="false" outlineLevel="0" collapsed="false">
      <c r="A1" s="1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  <row r="5" customFormat="false" ht="12.8" hidden="false" customHeight="false" outlineLevel="0" collapsed="false">
      <c r="A5" s="0" t="s">
        <v>4</v>
      </c>
    </row>
    <row r="6" customFormat="false" ht="12.8" hidden="false" customHeight="false" outlineLevel="0" collapsed="false">
      <c r="A6" s="0" t="s">
        <v>5</v>
      </c>
    </row>
    <row r="7" customFormat="false" ht="12.8" hidden="false" customHeight="false" outlineLevel="0" collapsed="false">
      <c r="A7" s="0" t="s">
        <v>6</v>
      </c>
    </row>
    <row r="8" customFormat="false" ht="12.8" hidden="false" customHeight="false" outlineLevel="0" collapsed="false">
      <c r="A8" s="0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0.43"/>
    <col collapsed="false" customWidth="true" hidden="false" outlineLevel="0" max="5" min="2" style="0" width="15.32"/>
    <col collapsed="false" customWidth="true" hidden="false" outlineLevel="0" max="6" min="6" style="0" width="17.37"/>
  </cols>
  <sheetData>
    <row r="1" customFormat="false" ht="15" hidden="false" customHeight="false" outlineLevel="0" collapsed="false">
      <c r="A1" s="1" t="s">
        <v>8</v>
      </c>
    </row>
    <row r="2" customFormat="false" ht="12.8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</row>
    <row r="3" customFormat="false" ht="12.8" hidden="false" customHeight="false" outlineLevel="0" collapsed="false">
      <c r="A3" s="3" t="n">
        <v>1</v>
      </c>
      <c r="B3" s="4"/>
      <c r="C3" s="4"/>
      <c r="D3" s="4"/>
      <c r="E3" s="5" t="str">
        <f aca="false">IF(COUNT(B3:D3)=3,SUM(B3:D3),"")</f>
        <v/>
      </c>
      <c r="F3" s="0" t="s">
        <v>15</v>
      </c>
    </row>
    <row r="4" customFormat="false" ht="12.8" hidden="false" customHeight="false" outlineLevel="0" collapsed="false">
      <c r="A4" s="3" t="n">
        <v>2</v>
      </c>
      <c r="B4" s="4"/>
      <c r="C4" s="4"/>
      <c r="D4" s="4"/>
      <c r="E4" s="5" t="str">
        <f aca="false">IF(COUNT(B4:D4)=3,SUM(B4:D4),"")</f>
        <v/>
      </c>
      <c r="F4" s="0" t="s">
        <v>16</v>
      </c>
    </row>
    <row r="5" customFormat="false" ht="12.8" hidden="false" customHeight="false" outlineLevel="0" collapsed="false">
      <c r="A5" s="3" t="n">
        <v>3</v>
      </c>
      <c r="B5" s="4"/>
      <c r="C5" s="4"/>
      <c r="D5" s="4"/>
      <c r="E5" s="5" t="str">
        <f aca="false">IF(COUNT(B5:D5)=3,SUM(B5:D5),"")</f>
        <v/>
      </c>
      <c r="F5" s="0" t="s">
        <v>15</v>
      </c>
    </row>
    <row r="6" customFormat="false" ht="12.8" hidden="false" customHeight="false" outlineLevel="0" collapsed="false">
      <c r="A6" s="3" t="n">
        <v>4</v>
      </c>
      <c r="B6" s="4"/>
      <c r="C6" s="4"/>
      <c r="D6" s="4"/>
      <c r="E6" s="5" t="str">
        <f aca="false">IF(COUNT(B6:D6)=3,SUM(B6:D6),"")</f>
        <v/>
      </c>
      <c r="F6" s="0" t="s">
        <v>16</v>
      </c>
    </row>
    <row r="7" customFormat="false" ht="12.8" hidden="false" customHeight="false" outlineLevel="0" collapsed="false">
      <c r="A7" s="3" t="n">
        <v>5</v>
      </c>
      <c r="B7" s="4"/>
      <c r="C7" s="4"/>
      <c r="D7" s="4"/>
      <c r="E7" s="5" t="str">
        <f aca="false">IF(COUNT(B7:D7)=3,SUM(B7:D7),"")</f>
        <v/>
      </c>
      <c r="F7" s="0" t="s">
        <v>15</v>
      </c>
    </row>
    <row r="8" customFormat="false" ht="12.8" hidden="false" customHeight="false" outlineLevel="0" collapsed="false">
      <c r="A8" s="2" t="s">
        <v>17</v>
      </c>
      <c r="B8" s="5" t="str">
        <f aca="false">IF(COUNT(B3:B7)=0,"",ROUND(AVERAGE(B3:B7),1))</f>
        <v/>
      </c>
      <c r="C8" s="5" t="str">
        <f aca="false">IF(COUNT(C3:C7)=0,"",ROUND(AVERAGE(C3:C7),1))</f>
        <v/>
      </c>
      <c r="D8" s="5" t="str">
        <f aca="false">IF(COUNT(D3:D7)=0,"",ROUND(AVERAGE(D3:D7),1))</f>
        <v/>
      </c>
      <c r="E8" s="5" t="str">
        <f aca="false">IF(COUNT(E3:E7)=0,"",ROUND(AVERAGE(E3:E7),1))</f>
        <v/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0.43"/>
    <col collapsed="false" customWidth="true" hidden="false" outlineLevel="0" max="5" min="2" style="0" width="15.32"/>
    <col collapsed="false" customWidth="true" hidden="false" outlineLevel="0" max="6" min="6" style="0" width="17.37"/>
  </cols>
  <sheetData>
    <row r="1" customFormat="false" ht="15" hidden="false" customHeight="false" outlineLevel="0" collapsed="false">
      <c r="A1" s="1" t="s">
        <v>18</v>
      </c>
    </row>
    <row r="2" customFormat="false" ht="12.8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</row>
    <row r="3" customFormat="false" ht="12.8" hidden="false" customHeight="false" outlineLevel="0" collapsed="false">
      <c r="A3" s="3" t="n">
        <v>1</v>
      </c>
      <c r="B3" s="4"/>
      <c r="C3" s="4"/>
      <c r="D3" s="4"/>
      <c r="E3" s="5" t="str">
        <f aca="false">IF(COUNT(B3:D3)=3,SUM(B3:D3),"")</f>
        <v/>
      </c>
      <c r="F3" s="0" t="s">
        <v>15</v>
      </c>
    </row>
    <row r="4" customFormat="false" ht="12.8" hidden="false" customHeight="false" outlineLevel="0" collapsed="false">
      <c r="A4" s="3" t="n">
        <v>2</v>
      </c>
      <c r="B4" s="4"/>
      <c r="C4" s="4"/>
      <c r="D4" s="4"/>
      <c r="E4" s="5" t="str">
        <f aca="false">IF(COUNT(B4:D4)=3,SUM(B4:D4),"")</f>
        <v/>
      </c>
      <c r="F4" s="0" t="s">
        <v>16</v>
      </c>
    </row>
    <row r="5" customFormat="false" ht="12.8" hidden="false" customHeight="false" outlineLevel="0" collapsed="false">
      <c r="A5" s="3" t="n">
        <v>3</v>
      </c>
      <c r="B5" s="4"/>
      <c r="C5" s="4"/>
      <c r="D5" s="4"/>
      <c r="E5" s="5" t="str">
        <f aca="false">IF(COUNT(B5:D5)=3,SUM(B5:D5),"")</f>
        <v/>
      </c>
      <c r="F5" s="0" t="s">
        <v>15</v>
      </c>
    </row>
    <row r="6" customFormat="false" ht="12.8" hidden="false" customHeight="false" outlineLevel="0" collapsed="false">
      <c r="A6" s="3" t="n">
        <v>4</v>
      </c>
      <c r="B6" s="4"/>
      <c r="C6" s="4"/>
      <c r="D6" s="4"/>
      <c r="E6" s="5" t="str">
        <f aca="false">IF(COUNT(B6:D6)=3,SUM(B6:D6),"")</f>
        <v/>
      </c>
      <c r="F6" s="0" t="s">
        <v>16</v>
      </c>
    </row>
    <row r="7" customFormat="false" ht="12.8" hidden="false" customHeight="false" outlineLevel="0" collapsed="false">
      <c r="A7" s="3" t="n">
        <v>5</v>
      </c>
      <c r="B7" s="4"/>
      <c r="C7" s="4"/>
      <c r="D7" s="4"/>
      <c r="E7" s="5" t="str">
        <f aca="false">IF(COUNT(B7:D7)=3,SUM(B7:D7),"")</f>
        <v/>
      </c>
      <c r="F7" s="0" t="s">
        <v>15</v>
      </c>
    </row>
    <row r="8" customFormat="false" ht="12.8" hidden="false" customHeight="false" outlineLevel="0" collapsed="false">
      <c r="A8" s="2" t="s">
        <v>17</v>
      </c>
      <c r="B8" s="5" t="str">
        <f aca="false">IF(COUNT(B3:B7)=0,"",ROUND(AVERAGE(B3:B7),1))</f>
        <v/>
      </c>
      <c r="C8" s="5" t="str">
        <f aca="false">IF(COUNT(C3:C7)=0,"",ROUND(AVERAGE(C3:C7),1))</f>
        <v/>
      </c>
      <c r="D8" s="5" t="str">
        <f aca="false">IF(COUNT(D3:D7)=0,"",ROUND(AVERAGE(D3:D7),1))</f>
        <v/>
      </c>
      <c r="E8" s="5" t="str">
        <f aca="false">IF(COUNT(E3:E7)=0,"",ROUND(AVERAGE(E3:E7),1))</f>
        <v/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5.76"/>
    <col collapsed="false" customWidth="true" hidden="false" outlineLevel="0" max="3" min="2" style="0" width="21.45"/>
    <col collapsed="false" customWidth="true" hidden="false" outlineLevel="0" max="4" min="4" style="0" width="17.37"/>
  </cols>
  <sheetData>
    <row r="1" customFormat="false" ht="15" hidden="false" customHeight="false" outlineLevel="0" collapsed="false">
      <c r="A1" s="1" t="s">
        <v>19</v>
      </c>
    </row>
    <row r="2" customFormat="false" ht="12.8" hidden="false" customHeight="false" outlineLevel="0" collapsed="false">
      <c r="A2" s="2" t="s">
        <v>20</v>
      </c>
      <c r="B2" s="2" t="s">
        <v>21</v>
      </c>
      <c r="C2" s="2" t="s">
        <v>22</v>
      </c>
      <c r="D2" s="2" t="s">
        <v>23</v>
      </c>
    </row>
    <row r="3" customFormat="false" ht="12.8" hidden="false" customHeight="false" outlineLevel="0" collapsed="false">
      <c r="A3" s="0" t="s">
        <v>24</v>
      </c>
      <c r="B3" s="5" t="str">
        <f aca="false">Tradicional!B8</f>
        <v/>
      </c>
      <c r="C3" s="5" t="str">
        <f aca="false">'QR Code'!B8</f>
        <v/>
      </c>
      <c r="D3" s="5" t="str">
        <f aca="false">IF(OR(B3="",B3=0),"",ROUND((B3-C3)/B3*100,1))</f>
        <v/>
      </c>
    </row>
    <row r="4" customFormat="false" ht="12.8" hidden="false" customHeight="false" outlineLevel="0" collapsed="false">
      <c r="A4" s="0" t="s">
        <v>25</v>
      </c>
      <c r="B4" s="5" t="str">
        <f aca="false">Tradicional!C8</f>
        <v/>
      </c>
      <c r="C4" s="5" t="str">
        <f aca="false">'QR Code'!C8</f>
        <v/>
      </c>
      <c r="D4" s="5" t="str">
        <f aca="false">IF(OR(B4="",B4=0),"",ROUND((B4-C4)/B4*100,1))</f>
        <v/>
      </c>
    </row>
    <row r="5" customFormat="false" ht="12.8" hidden="false" customHeight="false" outlineLevel="0" collapsed="false">
      <c r="A5" s="0" t="s">
        <v>26</v>
      </c>
      <c r="B5" s="5" t="str">
        <f aca="false">Tradicional!D8</f>
        <v/>
      </c>
      <c r="C5" s="5" t="str">
        <f aca="false">'QR Code'!D8</f>
        <v/>
      </c>
      <c r="D5" s="5" t="str">
        <f aca="false">IF(OR(B5="",B5=0),"",ROUND((B5-C5)/B5*100,1))</f>
        <v/>
      </c>
    </row>
    <row r="6" customFormat="false" ht="12.8" hidden="false" customHeight="false" outlineLevel="0" collapsed="false">
      <c r="A6" s="0" t="s">
        <v>27</v>
      </c>
      <c r="B6" s="5" t="str">
        <f aca="false">Tradicional!E8</f>
        <v/>
      </c>
      <c r="C6" s="5" t="str">
        <f aca="false">'QR Code'!E8</f>
        <v/>
      </c>
      <c r="D6" s="5" t="str">
        <f aca="false">IF(OR(B6="",B6=0),"",ROUND((B6-C6)/B6*100,1))</f>
        <v/>
      </c>
    </row>
    <row r="7" customFormat="false" ht="12.8" hidden="false" customHeight="false" outlineLevel="0" collapsed="false">
      <c r="A7" s="0" t="s">
        <v>28</v>
      </c>
    </row>
    <row r="8" customFormat="false" ht="15" hidden="false" customHeight="false" outlineLevel="0" collapsed="false">
      <c r="A8" s="1" t="s">
        <v>29</v>
      </c>
    </row>
    <row r="9" customFormat="false" ht="12.8" hidden="false" customHeight="false" outlineLevel="0" collapsed="false">
      <c r="A9" s="0" t="s">
        <v>30</v>
      </c>
      <c r="B9" s="4" t="n">
        <v>12</v>
      </c>
      <c r="C9" s="0" t="s">
        <v>31</v>
      </c>
    </row>
    <row r="10" customFormat="false" ht="12.8" hidden="false" customHeight="false" outlineLevel="0" collapsed="false">
      <c r="A10" s="0" t="s">
        <v>32</v>
      </c>
      <c r="B10" s="4"/>
      <c r="C10" s="0" t="s">
        <v>33</v>
      </c>
    </row>
    <row r="11" customFormat="false" ht="12.8" hidden="false" customHeight="false" outlineLevel="0" collapsed="false">
      <c r="A11" s="0" t="s">
        <v>34</v>
      </c>
      <c r="B11" s="5" t="str">
        <f aca="false">IF(B6="","",B6-C6)</f>
        <v/>
      </c>
    </row>
    <row r="12" customFormat="false" ht="12.8" hidden="false" customHeight="false" outlineLevel="0" collapsed="false">
      <c r="A12" s="0" t="s">
        <v>35</v>
      </c>
      <c r="B12" s="5" t="str">
        <f aca="false">IF(B11="","",ROUND(B11*B9/3600,2))</f>
        <v/>
      </c>
    </row>
    <row r="13" customFormat="false" ht="12.8" hidden="false" customHeight="false" outlineLevel="0" collapsed="false">
      <c r="A13" s="0" t="s">
        <v>36</v>
      </c>
      <c r="B13" s="5" t="str">
        <f aca="false">IF(OR(B12="",B10=""),"",ROUND(B12*B10,2))</f>
        <v/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revision>0</cp:revision>
  <dc:subject/>
  <dc:title/>
</cp:coreProperties>
</file>